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I Turístico" sheetId="1" state="visible" r:id="rId1"/>
    <sheet name="Resumen general" sheetId="2" state="visible" r:id="rId2"/>
    <sheet name="Guía rápid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12">
    <font>
      <name val="Calibri"/>
      <family val="2"/>
      <color theme="1"/>
      <sz val="11"/>
      <scheme val="minor"/>
    </font>
    <font>
      <b val="1"/>
      <color rgb="00FFFFFF"/>
      <sz val="18"/>
    </font>
    <font>
      <b val="1"/>
      <color rgb="0014281C"/>
      <sz val="10"/>
    </font>
    <font>
      <b val="1"/>
      <color rgb="00FFFFFF"/>
      <sz val="11"/>
    </font>
    <font>
      <sz val="10.5"/>
    </font>
    <font>
      <b val="1"/>
      <sz val="11"/>
    </font>
    <font>
      <i val="1"/>
      <color rgb="008A8F88"/>
      <sz val="9"/>
    </font>
    <font>
      <b val="1"/>
      <color rgb="001F5E36"/>
      <sz val="12"/>
    </font>
    <font>
      <b val="1"/>
      <color rgb="00FFFFFF"/>
      <sz val="16"/>
    </font>
    <font>
      <b val="1"/>
      <color rgb="001F5E36"/>
      <sz val="14"/>
    </font>
    <font>
      <sz val="10"/>
    </font>
    <font>
      <b val="1"/>
      <color rgb="00B04E2A"/>
      <sz val="12"/>
    </font>
  </fonts>
  <fills count="8">
    <fill>
      <patternFill/>
    </fill>
    <fill>
      <patternFill patternType="gray125"/>
    </fill>
    <fill>
      <patternFill patternType="solid">
        <fgColor rgb="0014281C"/>
      </patternFill>
    </fill>
    <fill>
      <patternFill patternType="solid">
        <fgColor rgb="00E8A58B"/>
      </patternFill>
    </fill>
    <fill>
      <patternFill patternType="solid">
        <fgColor rgb="00B04E2A"/>
      </patternFill>
    </fill>
    <fill>
      <patternFill patternType="solid">
        <fgColor rgb="00FFF2CC"/>
      </patternFill>
    </fill>
    <fill>
      <patternFill patternType="solid">
        <fgColor rgb="00F6F1E5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CDBA95"/>
      </left>
      <right style="thin">
        <color rgb="00CDBA95"/>
      </right>
      <top style="thin">
        <color rgb="00CDBA95"/>
      </top>
      <bottom style="thin">
        <color rgb="00CDBA95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4" borderId="0" applyAlignment="1" pivotButton="0" quotePrefix="0" xfId="0">
      <alignment horizontal="left" vertical="center" indent="1"/>
    </xf>
    <xf numFmtId="0" fontId="4" fillId="0" borderId="1" applyAlignment="1" pivotButton="0" quotePrefix="0" xfId="0">
      <alignment vertical="center" wrapText="1"/>
    </xf>
    <xf numFmtId="1" fontId="5" fillId="5" borderId="1" applyAlignment="1" pivotButton="0" quotePrefix="0" xfId="0">
      <alignment horizontal="right" vertical="center"/>
    </xf>
    <xf numFmtId="0" fontId="6" fillId="6" borderId="1" applyAlignment="1" pivotButton="0" quotePrefix="0" xfId="0">
      <alignment vertical="center" wrapText="1"/>
    </xf>
    <xf numFmtId="9" fontId="5" fillId="5" borderId="1" applyAlignment="1" pivotButton="0" quotePrefix="0" xfId="0">
      <alignment horizontal="right" vertical="center"/>
    </xf>
    <xf numFmtId="3" fontId="5" fillId="5" borderId="1" applyAlignment="1" pivotButton="0" quotePrefix="0" xfId="0">
      <alignment horizontal="right" vertical="center"/>
    </xf>
    <xf numFmtId="3" fontId="7" fillId="7" borderId="1" applyAlignment="1" pivotButton="0" quotePrefix="0" xfId="0">
      <alignment horizontal="right" vertical="center"/>
    </xf>
    <xf numFmtId="164" fontId="7" fillId="7" borderId="1" applyAlignment="1" pivotButton="0" quotePrefix="0" xfId="0">
      <alignment horizontal="right" vertical="center"/>
    </xf>
    <xf numFmtId="165" fontId="7" fillId="7" borderId="1" applyAlignment="1" pivotButton="0" quotePrefix="0" xfId="0">
      <alignment horizontal="right" vertical="center"/>
    </xf>
    <xf numFmtId="0" fontId="8" fillId="2" borderId="0" applyAlignment="1" pivotButton="0" quotePrefix="0" xfId="0">
      <alignment horizontal="left" vertical="center" indent="1"/>
    </xf>
    <xf numFmtId="0" fontId="9" fillId="7" borderId="0" applyAlignment="1" pivotButton="0" quotePrefix="0" xfId="0">
      <alignment horizontal="left" vertical="center" indent="1"/>
    </xf>
    <xf numFmtId="0" fontId="10" fillId="0" borderId="0" pivotButton="0" quotePrefix="0" xfId="0"/>
    <xf numFmtId="3" fontId="10" fillId="0" borderId="0" pivotButton="0" quotePrefix="0" xfId="0"/>
    <xf numFmtId="0" fontId="10" fillId="6" borderId="0" applyAlignment="1" pivotButton="0" quotePrefix="0" xfId="0">
      <alignment vertical="center" wrapText="1"/>
    </xf>
    <xf numFmtId="0" fontId="11" fillId="0" borderId="0" pivotButton="0" quotePrefix="0" xfId="0"/>
    <xf numFmtId="0" fontId="4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Ingresos vs. Costos vs. Utilidad (período)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 general'!B17</f>
            </strRef>
          </tx>
          <spPr>
            <a:ln>
              <a:prstDash val="solid"/>
            </a:ln>
          </spPr>
          <cat>
            <numRef>
              <f>'Resumen general'!$A$18:$A$21</f>
            </numRef>
          </cat>
          <val>
            <numRef>
              <f>'Resumen general'!$B$18:$B$21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16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8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20" customWidth="1" min="2" max="2"/>
    <col width="44" customWidth="1" min="3" max="3"/>
  </cols>
  <sheetData>
    <row r="1" ht="30" customHeight="1">
      <c r="A1" s="1" t="inlineStr">
        <is>
          <t>CALCULADORA DE ROI · OPERACIÓN TURÍSTICA</t>
        </is>
      </c>
    </row>
    <row r="2" ht="16" customHeight="1">
      <c r="A2" s="2" t="inlineStr">
        <is>
          <t>www.interpretaciondelpatrimonio.cl · Plataforma editorial de El Viaje Por Chile (www.elviaje.cl)</t>
        </is>
      </c>
    </row>
    <row r="4" ht="20" customHeight="1">
      <c r="A4" s="3" t="inlineStr">
        <is>
          <t>1) INGRESOS · DEMANDA ESPERADA</t>
        </is>
      </c>
    </row>
    <row r="5">
      <c r="A5" s="4" t="inlineStr">
        <is>
          <t>Capacidad del grupo (personas por operación)</t>
        </is>
      </c>
      <c r="B5" s="5" t="n">
        <v>25</v>
      </c>
      <c r="C5" s="6" t="inlineStr">
        <is>
          <t>Cuántas personas participan por salida o recorrido.</t>
        </is>
      </c>
    </row>
    <row r="6">
      <c r="A6" s="4" t="inlineStr">
        <is>
          <t>Ocupación esperada (%)</t>
        </is>
      </c>
      <c r="B6" s="7" t="n">
        <v>0.8</v>
      </c>
      <c r="C6" s="6" t="inlineStr">
        <is>
          <t>¿Qué % de la capacidad esperas vender?</t>
        </is>
      </c>
    </row>
    <row r="7">
      <c r="A7" s="4" t="inlineStr">
        <is>
          <t>Operaciones o fechas por mes</t>
        </is>
      </c>
      <c r="B7" s="5" t="n">
        <v>4</v>
      </c>
      <c r="C7" s="6" t="inlineStr">
        <is>
          <t>N° de salidas, rutas o sesiones al mes.</t>
        </is>
      </c>
    </row>
    <row r="8">
      <c r="A8" s="4" t="inlineStr">
        <is>
          <t>Meses de la temporada analizada</t>
        </is>
      </c>
      <c r="B8" s="5" t="n">
        <v>6</v>
      </c>
      <c r="C8" s="6" t="inlineStr">
        <is>
          <t>Largo de la temporada/operación (6 = semestre, 12 = anual).</t>
        </is>
      </c>
    </row>
    <row r="9">
      <c r="A9" s="4" t="inlineStr">
        <is>
          <t>Tarifa por persona (CLP)</t>
        </is>
      </c>
      <c r="B9" s="8" t="n">
        <v>25000</v>
      </c>
      <c r="C9" s="6" t="inlineStr">
        <is>
          <t>Precio de venta de la experiencia (audioguía + vivencia).</t>
        </is>
      </c>
    </row>
    <row r="10">
      <c r="A10" s="4" t="inlineStr">
        <is>
          <t>Otros ingresos por persona (tienda, servicios, fotos)</t>
        </is>
      </c>
      <c r="B10" s="8" t="n">
        <v>8000</v>
      </c>
      <c r="C10" s="6" t="inlineStr">
        <is>
          <t>Venta adicional por visitante (merchandising, guías).</t>
        </is>
      </c>
    </row>
    <row r="12" ht="20" customHeight="1">
      <c r="A12" s="3" t="inlineStr">
        <is>
          <t>2) COSTOS VARIABLES (POR PERSONA)</t>
        </is>
      </c>
    </row>
    <row r="13">
      <c r="A13" s="4" t="inlineStr">
        <is>
          <t>Guías o animadores (por persona)</t>
        </is>
      </c>
      <c r="B13" s="8" t="n">
        <v>3000</v>
      </c>
    </row>
    <row r="14">
      <c r="A14" s="4" t="inlineStr">
        <is>
          <t>Insumos y materiales (por persona)</t>
        </is>
      </c>
      <c r="B14" s="8" t="n">
        <v>2000</v>
      </c>
    </row>
    <row r="15">
      <c r="A15" s="4" t="inlineStr">
        <is>
          <t>Transporte (por persona)</t>
        </is>
      </c>
      <c r="B15" s="8" t="n">
        <v>2500</v>
      </c>
    </row>
    <row r="16">
      <c r="A16" s="4" t="inlineStr">
        <is>
          <t>Comisiones de venta (por persona)</t>
        </is>
      </c>
      <c r="B16" s="8" t="n">
        <v>1500</v>
      </c>
    </row>
    <row r="17">
      <c r="A17" s="4" t="inlineStr">
        <is>
          <t>Tasa de impuestos sobre la utilidad (%)</t>
        </is>
      </c>
      <c r="B17" s="7" t="n">
        <v>0.27</v>
      </c>
    </row>
    <row r="19" ht="20" customHeight="1">
      <c r="A19" s="3" t="inlineStr">
        <is>
          <t>3) COSTOS FIJOS (TODO EL PERÍODO)</t>
        </is>
      </c>
    </row>
    <row r="20">
      <c r="A20" s="4" t="inlineStr">
        <is>
          <t>Arriendos e infraestructura</t>
        </is>
      </c>
      <c r="B20" s="8" t="n">
        <v>300000</v>
      </c>
    </row>
    <row r="21">
      <c r="A21" s="4" t="inlineStr">
        <is>
          <t>Sueldos y honorarios</t>
        </is>
      </c>
      <c r="B21" s="8" t="n">
        <v>1200000</v>
      </c>
    </row>
    <row r="22">
      <c r="A22" s="4" t="inlineStr">
        <is>
          <t>Marketing y publicidad</t>
        </is>
      </c>
      <c r="B22" s="8" t="n">
        <v>250000</v>
      </c>
    </row>
    <row r="23">
      <c r="A23" s="4" t="inlineStr">
        <is>
          <t>Permisos, seguros y licencias</t>
        </is>
      </c>
      <c r="B23" s="8" t="n">
        <v>150000</v>
      </c>
    </row>
    <row r="24">
      <c r="A24" s="4" t="inlineStr">
        <is>
          <t>Mantenimiento y equipamiento</t>
        </is>
      </c>
      <c r="B24" s="8" t="n">
        <v>100000</v>
      </c>
    </row>
    <row r="25">
      <c r="A25" s="4" t="inlineStr">
        <is>
          <t>Otros gastos fijos</t>
        </is>
      </c>
      <c r="B25" s="8" t="n">
        <v>0</v>
      </c>
    </row>
    <row r="27" ht="20" customHeight="1">
      <c r="A27" s="3" t="inlineStr">
        <is>
          <t>4) INVERSIÓN INICIAL</t>
        </is>
      </c>
    </row>
    <row r="28">
      <c r="A28" s="4" t="inlineStr">
        <is>
          <t>Desarrollo de contenidos (guiones, audioguías, registro)</t>
        </is>
      </c>
      <c r="B28" s="8" t="n">
        <v>600000</v>
      </c>
    </row>
    <row r="29">
      <c r="A29" s="4" t="inlineStr">
        <is>
          <t>Equipamiento e infraestructura inicial</t>
        </is>
      </c>
      <c r="B29" s="8" t="n">
        <v>800000</v>
      </c>
    </row>
    <row r="30">
      <c r="A30" s="4" t="inlineStr">
        <is>
          <t>Capital de trabajo inicial</t>
        </is>
      </c>
      <c r="B30" s="8" t="n">
        <v>0</v>
      </c>
    </row>
    <row r="32" ht="20" customHeight="1">
      <c r="A32" s="3" t="inlineStr">
        <is>
          <t>5) RESULTADOS AUTOMÁTICOS</t>
        </is>
      </c>
    </row>
    <row r="33">
      <c r="A33" s="4" t="inlineStr">
        <is>
          <t>Visitantes estimados en el período</t>
        </is>
      </c>
      <c r="B33" s="9">
        <f>B5*B6*B7*B8</f>
        <v/>
      </c>
    </row>
    <row r="34">
      <c r="A34" s="4" t="inlineStr">
        <is>
          <t>Ingresos por tarifa</t>
        </is>
      </c>
      <c r="B34" s="9">
        <f>B33*B9</f>
        <v/>
      </c>
    </row>
    <row r="35">
      <c r="A35" s="4" t="inlineStr">
        <is>
          <t>Otros ingresos</t>
        </is>
      </c>
      <c r="B35" s="9">
        <f>B33*B10</f>
        <v/>
      </c>
    </row>
    <row r="36">
      <c r="A36" s="4" t="inlineStr">
        <is>
          <t>Ingreso total</t>
        </is>
      </c>
      <c r="B36" s="9">
        <f>B34+B35</f>
        <v/>
      </c>
    </row>
    <row r="37">
      <c r="A37" s="4" t="inlineStr">
        <is>
          <t>Costos variables totales</t>
        </is>
      </c>
      <c r="B37" s="9">
        <f>B33*(B13+B14+B15+B16)</f>
        <v/>
      </c>
    </row>
    <row r="38">
      <c r="A38" s="4" t="inlineStr">
        <is>
          <t>Margen de contribución</t>
        </is>
      </c>
      <c r="B38" s="9">
        <f>B36-B37</f>
        <v/>
      </c>
    </row>
    <row r="39">
      <c r="A39" s="4" t="inlineStr">
        <is>
          <t>Costos fijos del período</t>
        </is>
      </c>
      <c r="B39" s="9">
        <f>SUM(B20:B25)</f>
        <v/>
      </c>
    </row>
    <row r="40">
      <c r="A40" s="4" t="inlineStr">
        <is>
          <t>Resultado operacional</t>
        </is>
      </c>
      <c r="B40" s="9">
        <f>B38-B39</f>
        <v/>
      </c>
    </row>
    <row r="41">
      <c r="A41" s="4" t="inlineStr">
        <is>
          <t>Impuestos</t>
        </is>
      </c>
      <c r="B41" s="9">
        <f>IF(B40&gt;0,B40*B17,0)</f>
        <v/>
      </c>
    </row>
    <row r="42">
      <c r="A42" s="4" t="inlineStr">
        <is>
          <t>Utilidad neta del período</t>
        </is>
      </c>
      <c r="B42" s="9">
        <f>B40-B41</f>
        <v/>
      </c>
    </row>
    <row r="43">
      <c r="A43" s="4" t="inlineStr">
        <is>
          <t>ROI del período</t>
        </is>
      </c>
      <c r="B43" s="10">
        <f>IF(SUM(B28:B30)=0,0,B42/SUM(B28:B30))</f>
        <v/>
      </c>
    </row>
    <row r="44">
      <c r="A44" s="4" t="inlineStr">
        <is>
          <t>Recuperación de la inversión (meses)</t>
        </is>
      </c>
      <c r="B44" s="11">
        <f>IF(SUM(B28:B30)=0,"-",ROUND(SUM(B28:B30)/MAX(B42/B8,0.01),1))</f>
        <v/>
      </c>
    </row>
    <row r="45">
      <c r="A45" s="4" t="inlineStr">
        <is>
          <t>Punto de equilibrio (visitantes)</t>
        </is>
      </c>
      <c r="B45" s="9">
        <f>IF((B9+B10)-(B13+B14+B15+B16)&gt;0,B39/((B9+B10)-(B13+B14+B15+B16)),0)</f>
        <v/>
      </c>
    </row>
    <row r="46">
      <c r="A46" s="4" t="inlineStr">
        <is>
          <t>Utilidad neta por persona</t>
        </is>
      </c>
      <c r="B46" s="9">
        <f>IF(B33&gt;0,B42/B33,0)</f>
        <v/>
      </c>
    </row>
    <row r="48">
      <c r="C48" s="6" t="inlineStr">
        <is>
          <t>Edita los valores amarillos: todo el resto se calcula solo. Mantén una misma moneda en toda la planilla.</t>
        </is>
      </c>
    </row>
  </sheetData>
  <mergeCells count="14">
    <mergeCell ref="C8"/>
    <mergeCell ref="A19:C19"/>
    <mergeCell ref="C48"/>
    <mergeCell ref="A1:C1"/>
    <mergeCell ref="A32:C32"/>
    <mergeCell ref="C7"/>
    <mergeCell ref="A27:C27"/>
    <mergeCell ref="C6"/>
    <mergeCell ref="C10"/>
    <mergeCell ref="A12:C12"/>
    <mergeCell ref="A4:C4"/>
    <mergeCell ref="C5"/>
    <mergeCell ref="A2:C2"/>
    <mergeCell ref="C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8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22" customWidth="1" min="2" max="2"/>
    <col width="16" customWidth="1" min="3" max="3"/>
    <col width="16" customWidth="1" min="4" max="4"/>
  </cols>
  <sheetData>
    <row r="1" ht="26" customHeight="1">
      <c r="A1" s="12" t="inlineStr">
        <is>
          <t>RESUMEN GENERAL · ROI DE LA OPERACIÓN TURÍSTICA</t>
        </is>
      </c>
    </row>
    <row r="2" ht="16" customHeight="1">
      <c r="A2" s="2" t="inlineStr">
        <is>
          <t>Guía 1.3.2 Factibilidad · Prototipo de alta fidelidad con audioguías · www.interpretaciondelpatrimonio.cl</t>
        </is>
      </c>
    </row>
    <row r="4" ht="20" customHeight="1">
      <c r="A4" s="3" t="inlineStr">
        <is>
          <t>FÓRMULA CLAVE</t>
        </is>
      </c>
    </row>
    <row r="5" ht="26" customHeight="1">
      <c r="A5" s="13" t="inlineStr">
        <is>
          <t>ROI % = ( Ingreso total − Costos totales − Inversión ) ÷ Inversión</t>
        </is>
      </c>
    </row>
    <row r="7" ht="20" customHeight="1">
      <c r="A7" s="3" t="inlineStr">
        <is>
          <t>INDICADORES PRINCIPALES (actualizados desde la hoja ROI)</t>
        </is>
      </c>
    </row>
    <row r="8">
      <c r="A8" s="4" t="inlineStr">
        <is>
          <t>Ingreso total</t>
        </is>
      </c>
      <c r="B8" s="9">
        <f>'ROI Turístico'!B36</f>
        <v/>
      </c>
    </row>
    <row r="9">
      <c r="A9" s="4" t="inlineStr">
        <is>
          <t>Costos totales (variables + fijos)</t>
        </is>
      </c>
      <c r="B9" s="9">
        <f>'ROI Turístico'!B37+'ROI Turístico'!B39</f>
        <v/>
      </c>
    </row>
    <row r="10">
      <c r="A10" s="4" t="inlineStr">
        <is>
          <t>Utilidad neta del período</t>
        </is>
      </c>
      <c r="B10" s="9">
        <f>'ROI Turístico'!B42</f>
        <v/>
      </c>
    </row>
    <row r="11">
      <c r="A11" s="4" t="inlineStr">
        <is>
          <t>ROI del período</t>
        </is>
      </c>
      <c r="B11" s="10">
        <f>'ROI Turístico'!B43</f>
        <v/>
      </c>
    </row>
    <row r="12">
      <c r="A12" s="4" t="inlineStr">
        <is>
          <t>Visitantes estimados</t>
        </is>
      </c>
      <c r="B12" s="9">
        <f>'ROI Turístico'!B33</f>
        <v/>
      </c>
    </row>
    <row r="13">
      <c r="A13" s="4" t="inlineStr">
        <is>
          <t>Recuperación de la inversión (meses)</t>
        </is>
      </c>
      <c r="B13" s="11">
        <f>'ROI Turístico'!B44</f>
        <v/>
      </c>
    </row>
    <row r="14">
      <c r="A14" s="4" t="inlineStr">
        <is>
          <t>Punto de equilibrio (visitantes)</t>
        </is>
      </c>
      <c r="B14" s="9">
        <f>'ROI Turístico'!B45</f>
        <v/>
      </c>
    </row>
    <row r="17">
      <c r="A17" t="inlineStr">
        <is>
          <t>Concepto</t>
        </is>
      </c>
      <c r="B17" t="inlineStr">
        <is>
          <t>Valor</t>
        </is>
      </c>
    </row>
    <row r="18">
      <c r="A18" s="14" t="inlineStr">
        <is>
          <t>Ingresos totales</t>
        </is>
      </c>
      <c r="B18" s="15">
        <f>'ROI Turístico'!B36</f>
        <v/>
      </c>
    </row>
    <row r="19">
      <c r="A19" s="14" t="inlineStr">
        <is>
          <t>Costos variables</t>
        </is>
      </c>
      <c r="B19" s="15">
        <f>'ROI Turístico'!B37</f>
        <v/>
      </c>
    </row>
    <row r="20">
      <c r="A20" s="14" t="inlineStr">
        <is>
          <t>Costos fijos</t>
        </is>
      </c>
      <c r="B20" s="15">
        <f>'ROI Turístico'!B39</f>
        <v/>
      </c>
    </row>
    <row r="21">
      <c r="A21" s="14" t="inlineStr">
        <is>
          <t>Utilidad neta</t>
        </is>
      </c>
      <c r="B21" s="15">
        <f>'ROI Turístico'!B42</f>
        <v/>
      </c>
    </row>
    <row r="24" ht="20" customHeight="1">
      <c r="A24" s="3" t="inlineStr">
        <is>
          <t>LECTURA RÁPIDA PARA AUDIENCIAS</t>
        </is>
      </c>
    </row>
    <row r="25" ht="26" customHeight="1">
      <c r="A25" s="16" t="inlineStr">
        <is>
          <t>•  ROI &gt; 0%: la operación recupera la inversión y genera utilidad en el período.</t>
        </is>
      </c>
    </row>
    <row r="26" ht="26" customHeight="1">
      <c r="A26" s="16" t="inlineStr">
        <is>
          <t>•  Punto de equilibrio: número de visitantes mínimo para no perder dinero.</t>
        </is>
      </c>
    </row>
    <row r="27" ht="26" customHeight="1">
      <c r="A27" s="16" t="inlineStr">
        <is>
          <t>•  Recuperación (meses): tiempo en que la utilidad cubre la inversión inicial.</t>
        </is>
      </c>
    </row>
    <row r="28" ht="26" customHeight="1">
      <c r="A28" s="16" t="inlineStr">
        <is>
          <t>•  Tu audioguía es el prototipo de alta fidelidad: itera paradas, audio y tiempos antes de invertir.</t>
        </is>
      </c>
    </row>
  </sheetData>
  <mergeCells count="10">
    <mergeCell ref="A1:D1"/>
    <mergeCell ref="A5:D5"/>
    <mergeCell ref="A27:D27"/>
    <mergeCell ref="A4:D4"/>
    <mergeCell ref="A26:D26"/>
    <mergeCell ref="A7:D7"/>
    <mergeCell ref="A25:D25"/>
    <mergeCell ref="A24:D24"/>
    <mergeCell ref="A2:D2"/>
    <mergeCell ref="A28:D28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 ht="26" customHeight="1">
      <c r="A1" s="12" t="inlineStr">
        <is>
          <t>GUÍA RÁPIDA · DE LA IDEA A LA FACTIBILIDAD</t>
        </is>
      </c>
    </row>
    <row r="3">
      <c r="A3" s="17" t="inlineStr">
        <is>
          <t>PASO 1 · Define tu prototipo</t>
        </is>
      </c>
    </row>
    <row r="4" ht="20" customHeight="1">
      <c r="A4" s="18" t="inlineStr">
        <is>
          <t>Elige qué parte de la experiencia prototipas y para qué sirve en el recorrido del usuario.</t>
        </is>
      </c>
      <c r="B4" t="inlineStr"/>
    </row>
    <row r="6">
      <c r="A6" s="17" t="inlineStr">
        <is>
          <t>PASO 2 · Levantamiento técnico</t>
        </is>
      </c>
    </row>
    <row r="7" ht="20" customHeight="1">
      <c r="A7" s="18" t="inlineStr">
        <is>
          <t>Lista actividades, recursos humanos, equipamiento y qué verificar en terreno.</t>
        </is>
      </c>
      <c r="B7" t="inlineStr"/>
    </row>
    <row r="9">
      <c r="A9" s="17" t="inlineStr">
        <is>
          <t>PASO 3 · Normativa aplicable</t>
        </is>
      </c>
    </row>
    <row r="10" ht="20" customHeight="1">
      <c r="A10" s="18" t="inlineStr">
        <is>
          <t>Revisa permisos, seguridad, calidad, transporte y alimentación del destino.</t>
        </is>
      </c>
      <c r="B10" t="inlineStr"/>
    </row>
    <row r="12">
      <c r="A12" s="17" t="inlineStr">
        <is>
          <t>PASO 4 · Análisis económico</t>
        </is>
      </c>
    </row>
    <row r="13" ht="20" customHeight="1">
      <c r="A13" s="18" t="inlineStr">
        <is>
          <t>Anota costos de personas, materiales, transporte y seguros. Completa esta planilla.</t>
        </is>
      </c>
      <c r="B13" t="inlineStr"/>
    </row>
    <row r="15">
      <c r="A15" s="17" t="inlineStr">
        <is>
          <t>PASO 5 · Riesgos operacionales</t>
        </is>
      </c>
    </row>
    <row r="16" ht="20" customHeight="1">
      <c r="A16" s="18" t="inlineStr">
        <is>
          <t>Identifica riesgos para personas y ejecución, y define medidas de control.</t>
        </is>
      </c>
      <c r="B16" t="inlineStr"/>
    </row>
    <row r="18">
      <c r="A18" s="17" t="inlineStr">
        <is>
          <t>PASO 6 · Preguntas clave</t>
        </is>
      </c>
    </row>
    <row r="19" ht="20" customHeight="1">
      <c r="A19" s="18" t="inlineStr">
        <is>
          <t>Anota los ajustes necesarios y los puntos críticos que observarás en terreno.</t>
        </is>
      </c>
      <c r="B19" t="inlineStr"/>
    </row>
    <row r="21">
      <c r="A21" s="17" t="inlineStr">
        <is>
          <t>MATRIZ DE FACTIBILIDAD</t>
        </is>
      </c>
    </row>
    <row r="22" ht="20" customHeight="1">
      <c r="A22" s="18" t="inlineStr">
        <is>
          <t>Cruza dimensión vs. elemento: condición esperada, verificación en terreno, riesgos y observaciones.</t>
        </is>
      </c>
      <c r="B22" t="inlineStr"/>
    </row>
    <row r="23">
      <c r="A23" s="19" t="inlineStr">
        <is>
          <t>Herramienta de apoyo de la Guía 1.3.2 Factibilidad (ECT377) · Creada con openpyxl para www.interpretaciondelpatrimonio.cl</t>
        </is>
      </c>
    </row>
    <row r="24"/>
    <row r="25" ht="20" customHeight="1">
      <c r="A25" s="18" t="inlineStr">
        <is>
          <t>¿Qué información levantarás en terreno? ¿Cómo conecta teoría y práctica? ¿Qué decisión tomas?</t>
        </is>
      </c>
      <c r="B25" t="inlineStr"/>
    </row>
  </sheetData>
  <mergeCells count="10">
    <mergeCell ref="A22"/>
    <mergeCell ref="A4"/>
    <mergeCell ref="A7"/>
    <mergeCell ref="A25"/>
    <mergeCell ref="A16"/>
    <mergeCell ref="A23:A24"/>
    <mergeCell ref="A10"/>
    <mergeCell ref="A13"/>
    <mergeCell ref="A19"/>
    <mergeCell ref="A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2026-09-14T19:27:24Z</dcterms:created>
  <dcterms:modified xsi:type="dcterms:W3CDTF">2026-09-14T19:27:24Z</dcterms:modified>
</cp:coreProperties>
</file>